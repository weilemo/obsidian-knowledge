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weile/Course/25-26-1/ElecMag/TP/"/>
    </mc:Choice>
  </mc:AlternateContent>
  <xr:revisionPtr revIDLastSave="0" documentId="13_ncr:1_{48589927-4DBD-D54B-B6B8-F0256BFA1F1E}" xr6:coauthVersionLast="47" xr6:coauthVersionMax="47" xr10:uidLastSave="{00000000-0000-0000-0000-000000000000}"/>
  <bookViews>
    <workbookView xWindow="680" yWindow="760" windowWidth="28040" windowHeight="17240" xr2:uid="{B4C7513C-DF95-974D-8AE9-BC01A3C0AB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" i="1"/>
  <c r="F2" i="1" s="1"/>
  <c r="G9" i="1"/>
  <c r="G14" i="1"/>
  <c r="G12" i="1"/>
  <c r="G13" i="1"/>
  <c r="G6" i="1"/>
  <c r="G7" i="1"/>
  <c r="G3" i="1"/>
  <c r="G4" i="1"/>
  <c r="G5" i="1"/>
  <c r="G8" i="1"/>
  <c r="G10" i="1"/>
  <c r="G11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H9" i="1" l="1"/>
  <c r="H8" i="1"/>
  <c r="H12" i="1"/>
  <c r="H14" i="1"/>
  <c r="I9" i="1"/>
  <c r="I12" i="1"/>
  <c r="I14" i="1"/>
  <c r="H25" i="1"/>
  <c r="I17" i="1"/>
  <c r="H13" i="1"/>
  <c r="I8" i="1"/>
  <c r="H6" i="1"/>
  <c r="H23" i="1"/>
  <c r="I26" i="1"/>
  <c r="I18" i="1"/>
  <c r="I13" i="1"/>
  <c r="H7" i="1"/>
  <c r="I20" i="1"/>
  <c r="I19" i="1"/>
  <c r="I6" i="1"/>
  <c r="I23" i="1"/>
  <c r="H5" i="1"/>
  <c r="I22" i="1"/>
  <c r="I11" i="1"/>
  <c r="I24" i="1"/>
  <c r="I15" i="1"/>
  <c r="H26" i="1"/>
  <c r="H18" i="1"/>
  <c r="H4" i="1"/>
  <c r="I21" i="1"/>
  <c r="I10" i="1"/>
  <c r="I25" i="1"/>
  <c r="I16" i="1"/>
  <c r="H17" i="1"/>
  <c r="H2" i="1"/>
  <c r="I3" i="1"/>
  <c r="I4" i="1"/>
  <c r="I5" i="1"/>
  <c r="I7" i="1"/>
  <c r="H3" i="1"/>
  <c r="I2" i="1"/>
  <c r="H22" i="1"/>
  <c r="H21" i="1"/>
  <c r="H20" i="1"/>
  <c r="H15" i="1"/>
  <c r="H24" i="1"/>
  <c r="H16" i="1"/>
  <c r="H19" i="1"/>
  <c r="H11" i="1"/>
  <c r="H10" i="1"/>
</calcChain>
</file>

<file path=xl/sharedStrings.xml><?xml version="1.0" encoding="utf-8"?>
<sst xmlns="http://schemas.openxmlformats.org/spreadsheetml/2006/main" count="9" uniqueCount="9">
  <si>
    <t>f</t>
  </si>
  <si>
    <t>U_z</t>
  </si>
  <si>
    <t>U</t>
  </si>
  <si>
    <t>t</t>
  </si>
  <si>
    <t>fai</t>
  </si>
  <si>
    <t>Z</t>
  </si>
  <si>
    <t>R</t>
  </si>
  <si>
    <t>X</t>
  </si>
  <si>
    <t>t_modifié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</si>
</sst>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10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75</c:v>
                </c:pt>
                <c:pt idx="5">
                  <c:v>77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100</c:v>
                </c:pt>
                <c:pt idx="10">
                  <c:v>125</c:v>
                </c:pt>
                <c:pt idx="11">
                  <c:v>150</c:v>
                </c:pt>
                <c:pt idx="12">
                  <c:v>175</c:v>
                </c:pt>
                <c:pt idx="13">
                  <c:v>200</c:v>
                </c:pt>
                <c:pt idx="14">
                  <c:v>500</c:v>
                </c:pt>
                <c:pt idx="15">
                  <c:v>1000</c:v>
                </c:pt>
                <c:pt idx="16">
                  <c:v>2000</c:v>
                </c:pt>
                <c:pt idx="17">
                  <c:v>3000</c:v>
                </c:pt>
                <c:pt idx="18">
                  <c:v>4000</c:v>
                </c:pt>
                <c:pt idx="19">
                  <c:v>5000</c:v>
                </c:pt>
                <c:pt idx="20">
                  <c:v>6000</c:v>
                </c:pt>
                <c:pt idx="21">
                  <c:v>7000</c:v>
                </c:pt>
                <c:pt idx="22">
                  <c:v>8000</c:v>
                </c:pt>
                <c:pt idx="23">
                  <c:v>9000</c:v>
                </c:pt>
                <c:pt idx="24">
                  <c:v>10000</c:v>
                </c:pt>
              </c:numCache>
            </c:numRef>
          </c:xVal>
          <c:yVal>
            <c:numRef>
              <c:f>Sheet1!$H$2:$H$26</c:f>
              <c:numCache>
                <c:formatCode>General</c:formatCode>
                <c:ptCount val="25"/>
                <c:pt idx="0">
                  <c:v>9.5989154980539819</c:v>
                </c:pt>
                <c:pt idx="1">
                  <c:v>13.180235200025187</c:v>
                </c:pt>
                <c:pt idx="2">
                  <c:v>20.057499445088759</c:v>
                </c:pt>
                <c:pt idx="3">
                  <c:v>44.099984559508329</c:v>
                </c:pt>
                <c:pt idx="4">
                  <c:v>58.631816558206303</c:v>
                </c:pt>
                <c:pt idx="5">
                  <c:v>58.285714285714285</c:v>
                </c:pt>
                <c:pt idx="6">
                  <c:v>55.232882163343604</c:v>
                </c:pt>
                <c:pt idx="7">
                  <c:v>39.387754710315114</c:v>
                </c:pt>
                <c:pt idx="8">
                  <c:v>28.566282708229192</c:v>
                </c:pt>
                <c:pt idx="9">
                  <c:v>19.153560292387304</c:v>
                </c:pt>
                <c:pt idx="10">
                  <c:v>11.402608029113484</c:v>
                </c:pt>
                <c:pt idx="11">
                  <c:v>10.343120901619635</c:v>
                </c:pt>
                <c:pt idx="12">
                  <c:v>9.9262523688613715</c:v>
                </c:pt>
                <c:pt idx="13">
                  <c:v>10.633120022611187</c:v>
                </c:pt>
                <c:pt idx="14">
                  <c:v>13.129343764438131</c:v>
                </c:pt>
                <c:pt idx="15">
                  <c:v>14.868886857886459</c:v>
                </c:pt>
                <c:pt idx="16">
                  <c:v>24.763093910487299</c:v>
                </c:pt>
                <c:pt idx="17">
                  <c:v>31.792951059725784</c:v>
                </c:pt>
                <c:pt idx="18">
                  <c:v>41.041281742528611</c:v>
                </c:pt>
                <c:pt idx="19">
                  <c:v>49.104593855273251</c:v>
                </c:pt>
                <c:pt idx="20">
                  <c:v>60.966772431815343</c:v>
                </c:pt>
                <c:pt idx="21">
                  <c:v>65.634115330343931</c:v>
                </c:pt>
                <c:pt idx="22">
                  <c:v>64.867102670723256</c:v>
                </c:pt>
                <c:pt idx="23">
                  <c:v>66.485764508671295</c:v>
                </c:pt>
                <c:pt idx="24">
                  <c:v>78.057760989697144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30-3444-A321-94B976DB5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99999"/>
        <c:axId val="1410727247"/>
      </c:scatterChart>
      <c:valAx>
        <c:axId val="47009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10727247"/>
        <c:crosses val="autoZero"/>
        <c:crossBetween val="midCat"/>
      </c:valAx>
      <c:valAx>
        <c:axId val="141072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47009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75</c:v>
                </c:pt>
                <c:pt idx="5">
                  <c:v>77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100</c:v>
                </c:pt>
                <c:pt idx="10">
                  <c:v>125</c:v>
                </c:pt>
                <c:pt idx="11">
                  <c:v>150</c:v>
                </c:pt>
                <c:pt idx="12">
                  <c:v>175</c:v>
                </c:pt>
                <c:pt idx="13">
                  <c:v>200</c:v>
                </c:pt>
              </c:numCache>
            </c:numRef>
          </c:xVal>
          <c:yVal>
            <c:numRef>
              <c:f>Sheet1!$H$2:$H$15</c:f>
              <c:numCache>
                <c:formatCode>General</c:formatCode>
                <c:ptCount val="14"/>
                <c:pt idx="0">
                  <c:v>9.5989154980539819</c:v>
                </c:pt>
                <c:pt idx="1">
                  <c:v>13.180235200025187</c:v>
                </c:pt>
                <c:pt idx="2">
                  <c:v>20.057499445088759</c:v>
                </c:pt>
                <c:pt idx="3">
                  <c:v>44.099984559508329</c:v>
                </c:pt>
                <c:pt idx="4">
                  <c:v>58.631816558206303</c:v>
                </c:pt>
                <c:pt idx="5">
                  <c:v>58.285714285714285</c:v>
                </c:pt>
                <c:pt idx="6">
                  <c:v>55.232882163343604</c:v>
                </c:pt>
                <c:pt idx="7">
                  <c:v>39.387754710315114</c:v>
                </c:pt>
                <c:pt idx="8">
                  <c:v>28.566282708229192</c:v>
                </c:pt>
                <c:pt idx="9">
                  <c:v>19.153560292387304</c:v>
                </c:pt>
                <c:pt idx="10">
                  <c:v>11.402608029113484</c:v>
                </c:pt>
                <c:pt idx="11">
                  <c:v>10.343120901619635</c:v>
                </c:pt>
                <c:pt idx="12">
                  <c:v>9.9262523688613715</c:v>
                </c:pt>
                <c:pt idx="13">
                  <c:v>10.633120022611187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52-4D49-B5E3-98B63646A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513616"/>
        <c:axId val="985605920"/>
      </c:scatterChart>
      <c:valAx>
        <c:axId val="98551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85605920"/>
        <c:crosses val="autoZero"/>
        <c:crossBetween val="midCat"/>
      </c:valAx>
      <c:valAx>
        <c:axId val="9856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8551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75</c:v>
                </c:pt>
                <c:pt idx="5">
                  <c:v>77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100</c:v>
                </c:pt>
                <c:pt idx="10">
                  <c:v>125</c:v>
                </c:pt>
                <c:pt idx="11">
                  <c:v>150</c:v>
                </c:pt>
                <c:pt idx="12">
                  <c:v>175</c:v>
                </c:pt>
                <c:pt idx="13">
                  <c:v>200</c:v>
                </c:pt>
              </c:numCache>
            </c:numRef>
          </c:xVal>
          <c:yVal>
            <c:numRef>
              <c:f>Sheet1!$I$2:$I$15</c:f>
              <c:numCache>
                <c:formatCode>General</c:formatCode>
                <c:ptCount val="14"/>
                <c:pt idx="0">
                  <c:v>2.4645826067577055</c:v>
                </c:pt>
                <c:pt idx="1">
                  <c:v>9.5760014019315403</c:v>
                </c:pt>
                <c:pt idx="2">
                  <c:v>14.26677154136113</c:v>
                </c:pt>
                <c:pt idx="3">
                  <c:v>17.076927255679077</c:v>
                </c:pt>
                <c:pt idx="4">
                  <c:v>6.1562445734498379</c:v>
                </c:pt>
                <c:pt idx="5">
                  <c:v>0</c:v>
                </c:pt>
                <c:pt idx="6">
                  <c:v>-11.257336270048944</c:v>
                </c:pt>
                <c:pt idx="7">
                  <c:v>-14.44100426085912</c:v>
                </c:pt>
                <c:pt idx="8">
                  <c:v>-14.691160776539029</c:v>
                </c:pt>
                <c:pt idx="9">
                  <c:v>-10.529758876794634</c:v>
                </c:pt>
                <c:pt idx="10">
                  <c:v>-5.6083069600481403</c:v>
                </c:pt>
                <c:pt idx="11">
                  <c:v>-2.6072260723337335</c:v>
                </c:pt>
                <c:pt idx="12">
                  <c:v>-1.1179688941362922</c:v>
                </c:pt>
                <c:pt idx="13">
                  <c:v>-1.343275443399339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8-F444-876F-6ADCE3F56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107360"/>
        <c:axId val="985109072"/>
      </c:scatterChart>
      <c:valAx>
        <c:axId val="98510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85109072"/>
        <c:crosses val="autoZero"/>
        <c:crossBetween val="midCat"/>
      </c:valAx>
      <c:valAx>
        <c:axId val="98510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8510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Sheet1!$H$2:$H$16</c:f>
              <c:numCache>
                <c:formatCode>General</c:formatCode>
                <c:ptCount val="15"/>
                <c:pt idx="0">
                  <c:v>9.5989154980539819</c:v>
                </c:pt>
                <c:pt idx="1">
                  <c:v>13.180235200025187</c:v>
                </c:pt>
                <c:pt idx="2">
                  <c:v>20.057499445088759</c:v>
                </c:pt>
                <c:pt idx="3">
                  <c:v>44.099984559508329</c:v>
                </c:pt>
                <c:pt idx="4">
                  <c:v>58.631816558206303</c:v>
                </c:pt>
                <c:pt idx="5">
                  <c:v>58.285714285714285</c:v>
                </c:pt>
                <c:pt idx="6">
                  <c:v>55.232882163343604</c:v>
                </c:pt>
                <c:pt idx="7">
                  <c:v>39.387754710315114</c:v>
                </c:pt>
                <c:pt idx="8">
                  <c:v>28.566282708229192</c:v>
                </c:pt>
                <c:pt idx="9">
                  <c:v>19.153560292387304</c:v>
                </c:pt>
                <c:pt idx="10">
                  <c:v>11.402608029113484</c:v>
                </c:pt>
                <c:pt idx="11">
                  <c:v>10.343120901619635</c:v>
                </c:pt>
                <c:pt idx="12">
                  <c:v>9.9262523688613715</c:v>
                </c:pt>
                <c:pt idx="13">
                  <c:v>10.633120022611187</c:v>
                </c:pt>
                <c:pt idx="14">
                  <c:v>13.129343764438131</c:v>
                </c:pt>
              </c:numCache>
            </c:numRef>
          </c:xVal>
          <c:yVal>
            <c:numRef>
              <c:f>Sheet1!$I$2:$I$16</c:f>
              <c:numCache>
                <c:formatCode>General</c:formatCode>
                <c:ptCount val="15"/>
                <c:pt idx="0">
                  <c:v>2.4645826067577055</c:v>
                </c:pt>
                <c:pt idx="1">
                  <c:v>9.5760014019315403</c:v>
                </c:pt>
                <c:pt idx="2">
                  <c:v>14.26677154136113</c:v>
                </c:pt>
                <c:pt idx="3">
                  <c:v>17.076927255679077</c:v>
                </c:pt>
                <c:pt idx="4">
                  <c:v>6.1562445734498379</c:v>
                </c:pt>
                <c:pt idx="5">
                  <c:v>0</c:v>
                </c:pt>
                <c:pt idx="6">
                  <c:v>-11.257336270048944</c:v>
                </c:pt>
                <c:pt idx="7">
                  <c:v>-14.44100426085912</c:v>
                </c:pt>
                <c:pt idx="8">
                  <c:v>-14.691160776539029</c:v>
                </c:pt>
                <c:pt idx="9">
                  <c:v>-10.529758876794634</c:v>
                </c:pt>
                <c:pt idx="10">
                  <c:v>-5.6083069600481403</c:v>
                </c:pt>
                <c:pt idx="11">
                  <c:v>-2.6072260723337335</c:v>
                </c:pt>
                <c:pt idx="12">
                  <c:v>-1.1179688941362922</c:v>
                </c:pt>
                <c:pt idx="13">
                  <c:v>-1.343275443399339</c:v>
                </c:pt>
                <c:pt idx="14">
                  <c:v>-5.1982749334747655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A-FF4C-A7C3-997BC54D8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085695"/>
        <c:axId val="1671319327"/>
      </c:scatterChart>
      <c:valAx>
        <c:axId val="141108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71319327"/>
        <c:crosses val="autoZero"/>
        <c:crossBetween val="midCat"/>
      </c:valAx>
      <c:valAx>
        <c:axId val="167131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1108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330200</xdr:colOff>
      <xdr:row>28</xdr:row>
      <xdr:rowOff>12700</xdr:rowOff>
    </xdr:from>
    <xdr:to>
      <xdr:col>14</xdr:col>
      <xdr:colOff>774700</xdr:colOff>
      <xdr:row>45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E29F13-462A-1649-52A0-3DE428EB1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355600</xdr:colOff>
      <xdr:row>0</xdr:row>
      <xdr:rowOff>0</xdr:rowOff>
    </xdr:from>
    <xdr:to>
      <xdr:col>14</xdr:col>
      <xdr:colOff>800100</xdr:colOff>
      <xdr:row>13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E9D1F2-7FB3-CFC1-5D98-CCC8373DF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292100</xdr:colOff>
      <xdr:row>13</xdr:row>
      <xdr:rowOff>63500</xdr:rowOff>
    </xdr:from>
    <xdr:to>
      <xdr:col>14</xdr:col>
      <xdr:colOff>736600</xdr:colOff>
      <xdr:row>26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F072A5-3123-EB86-8DD8-F015699C7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457200</xdr:colOff>
      <xdr:row>6</xdr:row>
      <xdr:rowOff>12700</xdr:rowOff>
    </xdr:from>
    <xdr:to>
      <xdr:col>21</xdr:col>
      <xdr:colOff>76200</xdr:colOff>
      <xdr:row>19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DD88B7-7B40-2813-2ABE-6678750DB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819-D8F6-0246-A842-E0B6141413F0}">
  <dimension ref="A1:I26"/>
  <sheetViews>
    <sheetView tabSelected="1" workbookViewId="0">
      <selection activeCell="G8" sqref="G8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10</v>
      </c>
      <c r="B2">
        <v>30.1</v>
      </c>
      <c r="C2">
        <v>185</v>
      </c>
      <c r="D2">
        <f>E2*(-1)</f>
        <v>4000</v>
      </c>
      <c r="E2">
        <v>-4000</v>
      </c>
      <c r="F2">
        <f>2*PI()*D2*A2*0.000001</f>
        <v>0.25132741228718342</v>
      </c>
      <c r="G2">
        <f>B2*51/(C2-B2)</f>
        <v>9.9102646868947719</v>
      </c>
      <c r="H2">
        <f>G2*COS(F2)</f>
        <v>9.5989154980539819</v>
      </c>
      <c r="I2">
        <f>G2*SIN(F2)</f>
        <v>2.4645826067577055</v>
      </c>
    </row>
    <row r="3" spans="1:9" x14ac:dyDescent="0.2">
      <c r="A3">
        <v>50</v>
      </c>
      <c r="B3">
        <v>46</v>
      </c>
      <c r="C3">
        <v>190</v>
      </c>
      <c r="D3">
        <f>E3*(-1)</f>
        <v>2000</v>
      </c>
      <c r="E3">
        <v>-2000</v>
      </c>
      <c r="F3">
        <f>2*PI()*D3*A3*0.000001</f>
        <v>0.62831853071795851</v>
      </c>
      <c r="G3">
        <f>B3*51/(C3-B3)</f>
        <v>16.291666666666668</v>
      </c>
      <c r="H3">
        <f t="shared" ref="H3:H26" si="0">G3*COS(F3)</f>
        <v>13.180235200025187</v>
      </c>
      <c r="I3">
        <f t="shared" ref="I3:I26" si="1">G3*SIN(F3)</f>
        <v>9.5760014019315403</v>
      </c>
    </row>
    <row r="4" spans="1:9" x14ac:dyDescent="0.2">
      <c r="A4">
        <v>60</v>
      </c>
      <c r="B4">
        <v>62.5</v>
      </c>
      <c r="C4">
        <v>192</v>
      </c>
      <c r="D4">
        <f>E4*(-1)</f>
        <v>1640</v>
      </c>
      <c r="E4">
        <v>-1640</v>
      </c>
      <c r="F4">
        <f>2*PI()*D4*A4*0.000001</f>
        <v>0.61826543422647118</v>
      </c>
      <c r="G4">
        <f>B4*51/(C4-B4)</f>
        <v>24.613899613899616</v>
      </c>
      <c r="H4">
        <f t="shared" si="0"/>
        <v>20.057499445088759</v>
      </c>
      <c r="I4">
        <f t="shared" si="1"/>
        <v>14.26677154136113</v>
      </c>
    </row>
    <row r="5" spans="1:9" x14ac:dyDescent="0.2">
      <c r="A5">
        <v>70</v>
      </c>
      <c r="B5">
        <v>102</v>
      </c>
      <c r="C5">
        <v>212</v>
      </c>
      <c r="D5">
        <f>E5*(-1)</f>
        <v>840</v>
      </c>
      <c r="E5">
        <v>-840</v>
      </c>
      <c r="F5">
        <f>2*PI()*D5*A5*0.000001</f>
        <v>0.36945129606215971</v>
      </c>
      <c r="G5">
        <f>B5*51/(C5-B5)</f>
        <v>47.290909090909089</v>
      </c>
      <c r="H5">
        <f t="shared" si="0"/>
        <v>44.099984559508329</v>
      </c>
      <c r="I5">
        <f t="shared" si="1"/>
        <v>17.076927255679077</v>
      </c>
    </row>
    <row r="6" spans="1:9" x14ac:dyDescent="0.2">
      <c r="A6">
        <v>75</v>
      </c>
      <c r="B6">
        <v>126</v>
      </c>
      <c r="C6">
        <v>235</v>
      </c>
      <c r="D6">
        <f>E6*(-1)</f>
        <v>222</v>
      </c>
      <c r="E6">
        <v>-222</v>
      </c>
      <c r="F6">
        <f>2*PI()*D6*A6*0.000001</f>
        <v>0.10461503536454012</v>
      </c>
      <c r="G6">
        <f>B6*51/(C6-B6)</f>
        <v>58.954128440366972</v>
      </c>
      <c r="H6">
        <f t="shared" si="0"/>
        <v>58.631816558206303</v>
      </c>
      <c r="I6">
        <f t="shared" si="1"/>
        <v>6.1562445734498379</v>
      </c>
    </row>
    <row r="7" spans="1:9" x14ac:dyDescent="0.2">
      <c r="A7">
        <v>77</v>
      </c>
      <c r="B7">
        <v>128</v>
      </c>
      <c r="C7">
        <v>240</v>
      </c>
      <c r="D7">
        <f>E7*(-1)</f>
        <v>0</v>
      </c>
      <c r="E7">
        <v>0</v>
      </c>
      <c r="F7">
        <f>2*PI()*D7*A7*0.000001</f>
        <v>0</v>
      </c>
      <c r="G7">
        <f>B7*51/(C7-B7)</f>
        <v>58.285714285714285</v>
      </c>
      <c r="H7">
        <f t="shared" si="0"/>
        <v>58.285714285714285</v>
      </c>
      <c r="I7">
        <f t="shared" si="1"/>
        <v>0</v>
      </c>
    </row>
    <row r="8" spans="1:9" x14ac:dyDescent="0.2">
      <c r="A8">
        <v>80</v>
      </c>
      <c r="B8">
        <v>126</v>
      </c>
      <c r="C8">
        <v>240</v>
      </c>
      <c r="D8">
        <f>E8*(-1)</f>
        <v>-400</v>
      </c>
      <c r="E8">
        <v>400</v>
      </c>
      <c r="F8">
        <f>2*PI()*D8*A8*0.000001</f>
        <v>-0.20106192982974677</v>
      </c>
      <c r="G8">
        <f>B8*51/(C8-B8)</f>
        <v>56.368421052631582</v>
      </c>
      <c r="H8">
        <f t="shared" si="0"/>
        <v>55.232882163343604</v>
      </c>
      <c r="I8">
        <f t="shared" si="1"/>
        <v>-11.257336270048944</v>
      </c>
    </row>
    <row r="9" spans="1:9" x14ac:dyDescent="0.2">
      <c r="A9">
        <v>85</v>
      </c>
      <c r="B9">
        <v>102</v>
      </c>
      <c r="C9">
        <v>226</v>
      </c>
      <c r="D9">
        <f>E9*(-1)</f>
        <v>-658</v>
      </c>
      <c r="E9">
        <v>658</v>
      </c>
      <c r="F9">
        <f>2*PI()*D9*A9*0.000001</f>
        <v>-0.35141855423055424</v>
      </c>
      <c r="G9">
        <f>B9*51/(C9-B9)</f>
        <v>41.951612903225808</v>
      </c>
      <c r="H9">
        <f t="shared" si="0"/>
        <v>39.387754710315114</v>
      </c>
      <c r="I9">
        <f t="shared" si="1"/>
        <v>-14.44100426085912</v>
      </c>
    </row>
    <row r="10" spans="1:9" x14ac:dyDescent="0.2">
      <c r="A10">
        <v>90</v>
      </c>
      <c r="B10">
        <v>82.7</v>
      </c>
      <c r="C10">
        <v>214</v>
      </c>
      <c r="D10">
        <f>E10*(-1)</f>
        <v>-840</v>
      </c>
      <c r="E10">
        <v>840</v>
      </c>
      <c r="F10">
        <f>2*PI()*D10*A10*0.000001</f>
        <v>-0.47500880922277672</v>
      </c>
      <c r="G10">
        <f>B10*51/(C10-B10)</f>
        <v>32.122619954303119</v>
      </c>
      <c r="H10">
        <f t="shared" si="0"/>
        <v>28.566282708229192</v>
      </c>
      <c r="I10">
        <f t="shared" si="1"/>
        <v>-14.691160776539029</v>
      </c>
    </row>
    <row r="11" spans="1:9" x14ac:dyDescent="0.2">
      <c r="A11">
        <v>100</v>
      </c>
      <c r="B11">
        <v>58.5</v>
      </c>
      <c r="C11">
        <v>195</v>
      </c>
      <c r="D11">
        <f>E11*(-1)</f>
        <v>-800</v>
      </c>
      <c r="E11">
        <v>800</v>
      </c>
      <c r="F11">
        <f>2*PI()*D11*A11*0.000001</f>
        <v>-0.50265482457436694</v>
      </c>
      <c r="G11">
        <f>B11*51/(C11-B11)</f>
        <v>21.857142857142858</v>
      </c>
      <c r="H11">
        <f t="shared" si="0"/>
        <v>19.153560292387304</v>
      </c>
      <c r="I11">
        <f t="shared" si="1"/>
        <v>-10.529758876794634</v>
      </c>
    </row>
    <row r="12" spans="1:9" x14ac:dyDescent="0.2">
      <c r="A12">
        <v>125</v>
      </c>
      <c r="B12">
        <v>37.1</v>
      </c>
      <c r="C12">
        <v>186</v>
      </c>
      <c r="D12">
        <f>E12*(-1)</f>
        <v>-582</v>
      </c>
      <c r="E12">
        <v>582</v>
      </c>
      <c r="F12">
        <f>2*PI()*D12*A12*0.000001</f>
        <v>-0.45710173109731483</v>
      </c>
      <c r="G12">
        <f>B12*51/(C12-B12)</f>
        <v>12.707186030893217</v>
      </c>
      <c r="H12">
        <f t="shared" si="0"/>
        <v>11.402608029113484</v>
      </c>
      <c r="I12">
        <f t="shared" si="1"/>
        <v>-5.6083069600481403</v>
      </c>
    </row>
    <row r="13" spans="1:9" x14ac:dyDescent="0.2">
      <c r="A13">
        <v>150</v>
      </c>
      <c r="B13">
        <v>32</v>
      </c>
      <c r="C13">
        <v>185</v>
      </c>
      <c r="D13">
        <f>E13*(-1)</f>
        <v>-262</v>
      </c>
      <c r="E13">
        <v>262</v>
      </c>
      <c r="F13">
        <f>2*PI()*D13*A13*0.000001</f>
        <v>-0.24692918257215776</v>
      </c>
      <c r="G13">
        <f>B13*51/(C13-B13)</f>
        <v>10.666666666666666</v>
      </c>
      <c r="H13">
        <f t="shared" si="0"/>
        <v>10.343120901619635</v>
      </c>
      <c r="I13">
        <f t="shared" si="1"/>
        <v>-2.6072260723337335</v>
      </c>
    </row>
    <row r="14" spans="1:9" x14ac:dyDescent="0.2">
      <c r="A14">
        <v>175</v>
      </c>
      <c r="B14">
        <v>30.3</v>
      </c>
      <c r="C14">
        <v>185</v>
      </c>
      <c r="D14">
        <f>E14*(-1)</f>
        <v>-102</v>
      </c>
      <c r="E14">
        <v>102</v>
      </c>
      <c r="F14">
        <f>2*PI()*D14*A14*0.000001</f>
        <v>-0.11215485773315562</v>
      </c>
      <c r="G14">
        <f>B14*51/(C14-B14)</f>
        <v>9.9890109890109891</v>
      </c>
      <c r="H14">
        <f t="shared" si="0"/>
        <v>9.9262523688613715</v>
      </c>
      <c r="I14">
        <f t="shared" si="1"/>
        <v>-1.1179688941362922</v>
      </c>
    </row>
    <row r="15" spans="1:9" x14ac:dyDescent="0.2">
      <c r="A15">
        <v>200</v>
      </c>
      <c r="B15">
        <v>32.299999999999997</v>
      </c>
      <c r="C15">
        <v>186</v>
      </c>
      <c r="D15">
        <f>E15*(-1)</f>
        <v>-100</v>
      </c>
      <c r="E15">
        <v>100</v>
      </c>
      <c r="F15">
        <f>2*PI()*D15*A15*0.000001</f>
        <v>-0.12566370614359174</v>
      </c>
      <c r="G15">
        <f>B15*51/(C15-B15)</f>
        <v>10.717631750162655</v>
      </c>
      <c r="H15">
        <f t="shared" si="0"/>
        <v>10.633120022611187</v>
      </c>
      <c r="I15">
        <f t="shared" si="1"/>
        <v>-1.343275443399339</v>
      </c>
    </row>
    <row r="16" spans="1:9" x14ac:dyDescent="0.2">
      <c r="A16">
        <v>500</v>
      </c>
      <c r="B16">
        <v>41.2</v>
      </c>
      <c r="C16">
        <v>190</v>
      </c>
      <c r="D16">
        <f>E16*(-1)</f>
        <v>-120</v>
      </c>
      <c r="E16">
        <v>120</v>
      </c>
      <c r="F16">
        <f>2*PI()*D16*A16*0.000001</f>
        <v>-0.3769911184307751</v>
      </c>
      <c r="G16">
        <f>B16*51/(C16-B16)</f>
        <v>14.120967741935484</v>
      </c>
      <c r="H16">
        <f t="shared" si="0"/>
        <v>13.129343764438131</v>
      </c>
      <c r="I16">
        <f t="shared" si="1"/>
        <v>-5.1982749334747655</v>
      </c>
    </row>
    <row r="17" spans="1:9" x14ac:dyDescent="0.2">
      <c r="A17">
        <v>1000</v>
      </c>
      <c r="B17">
        <v>50.2</v>
      </c>
      <c r="C17">
        <v>192</v>
      </c>
      <c r="D17">
        <f>E17*(-1)</f>
        <v>-96</v>
      </c>
      <c r="E17">
        <v>96</v>
      </c>
      <c r="F17">
        <f>2*PI()*D17*A17*0.000001</f>
        <v>-0.60318578948924029</v>
      </c>
      <c r="G17">
        <f>B17*51/(C17-B17)</f>
        <v>18.055007052186177</v>
      </c>
      <c r="H17">
        <f t="shared" si="0"/>
        <v>14.868886857886459</v>
      </c>
      <c r="I17">
        <f t="shared" si="1"/>
        <v>-10.24204487696983</v>
      </c>
    </row>
    <row r="18" spans="1:9" x14ac:dyDescent="0.2">
      <c r="A18">
        <v>2000</v>
      </c>
      <c r="B18">
        <v>71.400000000000006</v>
      </c>
      <c r="C18">
        <v>202</v>
      </c>
      <c r="D18">
        <f>E18*(-1)</f>
        <v>-38</v>
      </c>
      <c r="E18">
        <v>38</v>
      </c>
      <c r="F18">
        <f>2*PI()*D18*A18*0.000001</f>
        <v>-0.4775220833456485</v>
      </c>
      <c r="G18">
        <f>B18*51/(C18-B18)</f>
        <v>27.882082695252681</v>
      </c>
      <c r="H18">
        <f t="shared" si="0"/>
        <v>24.763093910487299</v>
      </c>
      <c r="I18">
        <f t="shared" si="1"/>
        <v>-12.814043678921024</v>
      </c>
    </row>
    <row r="19" spans="1:9" x14ac:dyDescent="0.2">
      <c r="A19">
        <v>3000</v>
      </c>
      <c r="B19">
        <v>87.6</v>
      </c>
      <c r="C19">
        <v>209</v>
      </c>
      <c r="D19">
        <f>E19*(-1)</f>
        <v>-28</v>
      </c>
      <c r="E19">
        <v>28</v>
      </c>
      <c r="F19">
        <f>2*PI()*D19*A19*0.000001</f>
        <v>-0.52778756580308517</v>
      </c>
      <c r="G19">
        <f>B19*51/(C19-B19)</f>
        <v>36.800658978583186</v>
      </c>
      <c r="H19">
        <f t="shared" si="0"/>
        <v>31.792951059725784</v>
      </c>
      <c r="I19">
        <f t="shared" si="1"/>
        <v>-18.53366569709987</v>
      </c>
    </row>
    <row r="20" spans="1:9" x14ac:dyDescent="0.2">
      <c r="A20">
        <v>4000</v>
      </c>
      <c r="B20">
        <v>102</v>
      </c>
      <c r="C20">
        <v>216</v>
      </c>
      <c r="D20">
        <f>E20*(-1)</f>
        <v>-18</v>
      </c>
      <c r="E20">
        <v>18</v>
      </c>
      <c r="F20">
        <f>2*PI()*D20*A20*0.000001</f>
        <v>-0.45238934211693022</v>
      </c>
      <c r="G20">
        <f>B20*51/(C20-B20)</f>
        <v>45.631578947368418</v>
      </c>
      <c r="H20">
        <f t="shared" si="0"/>
        <v>41.041281742528611</v>
      </c>
      <c r="I20">
        <f t="shared" si="1"/>
        <v>-19.946282615071514</v>
      </c>
    </row>
    <row r="21" spans="1:9" x14ac:dyDescent="0.2">
      <c r="A21">
        <v>5000</v>
      </c>
      <c r="B21">
        <v>113</v>
      </c>
      <c r="C21">
        <v>221</v>
      </c>
      <c r="D21">
        <f>E21*(-1)</f>
        <v>-12.8</v>
      </c>
      <c r="E21">
        <v>12.8</v>
      </c>
      <c r="F21">
        <f>2*PI()*D21*A21*0.000001</f>
        <v>-0.40212385965949349</v>
      </c>
      <c r="G21">
        <f>B21*51/(C21-B21)</f>
        <v>53.361111111111114</v>
      </c>
      <c r="H21">
        <f t="shared" si="0"/>
        <v>49.104593855273251</v>
      </c>
      <c r="I21">
        <f t="shared" si="1"/>
        <v>-20.884133722062938</v>
      </c>
    </row>
    <row r="22" spans="1:9" x14ac:dyDescent="0.2">
      <c r="A22">
        <v>6000</v>
      </c>
      <c r="B22">
        <v>126</v>
      </c>
      <c r="C22">
        <v>224</v>
      </c>
      <c r="D22">
        <f>E22*(-1)</f>
        <v>-10</v>
      </c>
      <c r="E22">
        <v>10</v>
      </c>
      <c r="F22">
        <f>2*PI()*D22*A22*0.000001</f>
        <v>-0.37699111843077515</v>
      </c>
      <c r="G22">
        <f>B22*51/(C22-B22)</f>
        <v>65.571428571428569</v>
      </c>
      <c r="H22">
        <f t="shared" si="0"/>
        <v>60.966772431815343</v>
      </c>
      <c r="I22">
        <f t="shared" si="1"/>
        <v>-24.138452811752451</v>
      </c>
    </row>
    <row r="23" spans="1:9" x14ac:dyDescent="0.2">
      <c r="A23">
        <v>7000</v>
      </c>
      <c r="B23">
        <v>133</v>
      </c>
      <c r="C23">
        <v>228</v>
      </c>
      <c r="D23">
        <f>E23*(-1)</f>
        <v>-9.1999999999999993</v>
      </c>
      <c r="E23">
        <v>9.1999999999999993</v>
      </c>
      <c r="F23">
        <f>2*PI()*D23*A23*0.000001</f>
        <v>-0.40463713378236527</v>
      </c>
      <c r="G23">
        <f>B23*51/(C23-B23)</f>
        <v>71.400000000000006</v>
      </c>
      <c r="H23">
        <f t="shared" si="0"/>
        <v>65.634115330343931</v>
      </c>
      <c r="I23">
        <f t="shared" si="1"/>
        <v>-28.109124938409472</v>
      </c>
    </row>
    <row r="24" spans="1:9" x14ac:dyDescent="0.2">
      <c r="A24">
        <v>8000</v>
      </c>
      <c r="B24">
        <v>135</v>
      </c>
      <c r="C24">
        <v>235</v>
      </c>
      <c r="D24">
        <f>E24*(-1)</f>
        <v>-6.8</v>
      </c>
      <c r="E24">
        <v>6.8</v>
      </c>
      <c r="F24">
        <f>2*PI()*D24*A24*0.000001</f>
        <v>-0.34180528071056943</v>
      </c>
      <c r="G24">
        <f>B24*51/(C24-B24)</f>
        <v>68.849999999999994</v>
      </c>
      <c r="H24">
        <f t="shared" si="0"/>
        <v>64.867102670723256</v>
      </c>
      <c r="I24">
        <f t="shared" si="1"/>
        <v>-23.077727165079487</v>
      </c>
    </row>
    <row r="25" spans="1:9" x14ac:dyDescent="0.2">
      <c r="A25">
        <v>9000</v>
      </c>
      <c r="B25">
        <v>138</v>
      </c>
      <c r="C25">
        <v>237</v>
      </c>
      <c r="D25">
        <f>E25*(-1)</f>
        <v>-6.4</v>
      </c>
      <c r="E25">
        <v>6.4</v>
      </c>
      <c r="F25">
        <f>2*PI()*D25*A25*0.000001</f>
        <v>-0.36191147369354415</v>
      </c>
      <c r="G25">
        <f>B25*51/(C25-B25)</f>
        <v>71.090909090909093</v>
      </c>
      <c r="H25">
        <f t="shared" si="0"/>
        <v>66.485764508671295</v>
      </c>
      <c r="I25">
        <f t="shared" si="1"/>
        <v>-25.170627188638068</v>
      </c>
    </row>
    <row r="26" spans="1:9" x14ac:dyDescent="0.2">
      <c r="A26">
        <v>10000</v>
      </c>
      <c r="B26">
        <v>150</v>
      </c>
      <c r="C26">
        <v>242</v>
      </c>
      <c r="D26">
        <f>E26*(-1)</f>
        <v>-5.6</v>
      </c>
      <c r="E26">
        <v>5.6</v>
      </c>
      <c r="F26">
        <f>2*PI()*D26*A26*0.000001</f>
        <v>-0.35185837720205682</v>
      </c>
      <c r="G26">
        <f>B26*51/(C26-B26)</f>
        <v>83.152173913043484</v>
      </c>
      <c r="H26">
        <f t="shared" si="0"/>
        <v>78.057760989697144</v>
      </c>
      <c r="I26">
        <f t="shared" si="1"/>
        <v>-28.657808285707127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eu8698@outlook.com</dc:creator>
  <cp:lastModifiedBy>eu8698@outlook.com</cp:lastModifiedBy>
  <dcterms:created xsi:type="dcterms:W3CDTF">2025-12-18T08:41:25Z</dcterms:created>
  <dcterms:modified xsi:type="dcterms:W3CDTF">2025-12-18T09:18:50Z</dcterms:modified>
</cp:coreProperties>
</file>